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grad_year" sheetId="4" state="visible" r:id="rId4"/>
    <sheet xmlns:r="http://schemas.openxmlformats.org/officeDocument/2006/relationships" name="top10_states" sheetId="5" state="visible" r:id="rId5"/>
    <sheet xmlns:r="http://schemas.openxmlformats.org/officeDocument/2006/relationships" name="regional" sheetId="6" state="visible" r:id="rId6"/>
    <sheet xmlns:r="http://schemas.openxmlformats.org/officeDocument/2006/relationships" name="companion" sheetId="7" state="visible" r:id="rId7"/>
    <sheet xmlns:r="http://schemas.openxmlformats.org/officeDocument/2006/relationships" name="bulle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A4731"/>
      <sz val="11"/>
    </font>
    <font>
      <name val="Calibri"/>
      <color rgb="00333333"/>
      <sz val="11"/>
    </font>
    <font>
      <name val="Calibri"/>
      <b val="1"/>
      <color rgb="00333333"/>
      <sz val="11"/>
    </font>
    <font>
      <name val="Calibri"/>
      <color rgb="000070C0"/>
      <sz val="11"/>
    </font>
    <font>
      <name val="Calibri"/>
      <i val="1"/>
      <color rgb="00555555"/>
      <sz val="9"/>
    </font>
    <font>
      <name val="Calibri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F5F5F5"/>
      </patternFill>
    </fill>
    <fill>
      <patternFill patternType="solid">
        <fgColor rgb="00D9D9D9"/>
      </patternFill>
    </fill>
    <fill>
      <patternFill patternType="solid">
        <fgColor rgb="00EAF4EE"/>
      </patternFill>
    </fill>
    <fill>
      <patternFill patternType="solid">
        <fgColor rgb="00F5B80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6" borderId="1" pivotButton="0" quotePrefix="0" xfId="0"/>
    <xf numFmtId="0" fontId="8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7" borderId="1" applyAlignment="1" pivotButton="0" quotePrefix="0" xfId="0">
      <alignment horizontal="left" vertical="center"/>
    </xf>
    <xf numFmtId="9" fontId="8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8" customWidth="1" min="2" max="2"/>
  </cols>
  <sheetData>
    <row r="1" ht="36" customHeight="1">
      <c r="A1" s="1" t="inlineStr">
        <is>
          <t>Hankamer School of Business  |  Annual Report — Data Entry Workbook</t>
        </is>
      </c>
    </row>
    <row r="2" ht="30" customHeight="1">
      <c r="A2" s="2" t="inlineStr">
        <is>
          <t>HOW TO GENERATE THE REPORT</t>
        </is>
      </c>
    </row>
    <row r="3" ht="26" customHeight="1">
      <c r="A3" s="3" t="inlineStr">
        <is>
          <t>Step 1</t>
        </is>
      </c>
      <c r="B3" s="4" t="inlineStr">
        <is>
          <t>Fill in all YELLOW cells in each sheet below with the new year's data.</t>
        </is>
      </c>
    </row>
    <row r="4" ht="26" customHeight="1">
      <c r="A4" s="3" t="inlineStr">
        <is>
          <t>Step 2</t>
        </is>
      </c>
      <c r="B4" s="4" t="inlineStr">
        <is>
          <t>Save this file as data/hankamer_data_AY2627.xlsx (rename for the year).</t>
        </is>
      </c>
    </row>
    <row r="5" ht="26" customHeight="1">
      <c r="A5" s="3" t="inlineStr">
        <is>
          <t>Step 3</t>
        </is>
      </c>
      <c r="B5" s="4" t="inlineStr">
        <is>
          <t>Open a terminal in the project folder and run:  python generate_report.py --input data/hankamer_data_AY2627.xlsx</t>
        </is>
      </c>
    </row>
    <row r="6" ht="26" customHeight="1">
      <c r="A6" s="3" t="inlineStr">
        <is>
          <t>Step 4</t>
        </is>
      </c>
      <c r="B6" s="4" t="inlineStr">
        <is>
          <t>The finished PowerPoint will appear in the output/ folder, ready to present.</t>
        </is>
      </c>
    </row>
    <row r="7" ht="26" customHeight="1">
      <c r="A7" s="3" t="inlineStr"/>
    </row>
    <row r="8" ht="30" customHeight="1">
      <c r="A8" s="2" t="inlineStr">
        <is>
          <t>SHEET GUIDE</t>
        </is>
      </c>
    </row>
    <row r="9" ht="26" customHeight="1">
      <c r="A9" s="3" t="inlineStr">
        <is>
          <t>config</t>
        </is>
      </c>
      <c r="B9" s="4" t="inlineStr">
        <is>
          <t>Academic year label, session count, visitor estimate, states count — drives slide 1 headlines.</t>
        </is>
      </c>
    </row>
    <row r="10" ht="26" customHeight="1">
      <c r="A10" s="3" t="inlineStr">
        <is>
          <t>attendance</t>
        </is>
      </c>
      <c r="B10" s="4" t="inlineStr">
        <is>
          <t>Monthly headcount per semester — drives the bar chart on slide 2.</t>
        </is>
      </c>
    </row>
    <row r="11" ht="26" customHeight="1">
      <c r="A11" s="3" t="inlineStr">
        <is>
          <t>grad_year</t>
        </is>
      </c>
      <c r="B11" s="4" t="inlineStr">
        <is>
          <t>Student count by graduation class — drives the pie chart on slide 2.</t>
        </is>
      </c>
    </row>
    <row r="12" ht="26" customHeight="1">
      <c r="A12" s="3" t="inlineStr">
        <is>
          <t>top10_states</t>
        </is>
      </c>
      <c r="B12" s="4" t="inlineStr">
        <is>
          <t>Top 10 states by count (sorted largest→smallest) — drives the bar chart on slide 4.</t>
        </is>
      </c>
    </row>
    <row r="13" ht="26" customHeight="1">
      <c r="A13" s="3" t="inlineStr">
        <is>
          <t>regional</t>
        </is>
      </c>
      <c r="B13" s="4" t="inlineStr">
        <is>
          <t>Regional breakdown totals — drives the table and callout boxes on slide 3.</t>
        </is>
      </c>
    </row>
    <row r="14" ht="26" customHeight="1">
      <c r="A14" s="3" t="inlineStr">
        <is>
          <t>companion</t>
        </is>
      </c>
      <c r="B14" s="4" t="inlineStr">
        <is>
          <t>Who joins students (qualitative frequency labels) — drives the table on slide 4.</t>
        </is>
      </c>
    </row>
    <row r="15" ht="26" customHeight="1">
      <c r="A15" s="3" t="inlineStr">
        <is>
          <t>bullets</t>
        </is>
      </c>
      <c r="B15" s="4" t="inlineStr">
        <is>
          <t>Editable text for overview, recommendations, and engagement insights — drives all bullet text.</t>
        </is>
      </c>
    </row>
    <row r="16" ht="26" customHeight="1">
      <c r="A16" s="3" t="inlineStr"/>
    </row>
    <row r="17" ht="30" customHeight="1">
      <c r="A17" s="2" t="inlineStr">
        <is>
          <t>COLOUR GUIDE</t>
        </is>
      </c>
    </row>
    <row r="18" ht="26" customHeight="1">
      <c r="A18" s="3" t="inlineStr">
        <is>
          <t>Yellow cells</t>
        </is>
      </c>
      <c r="B18" s="4" t="inlineStr">
        <is>
          <t>→  Enter your data here. These are the ONLY cells you should change.</t>
        </is>
      </c>
    </row>
    <row r="19" ht="26" customHeight="1">
      <c r="A19" s="3" t="inlineStr">
        <is>
          <t>Green cells</t>
        </is>
      </c>
      <c r="B19" s="4" t="inlineStr">
        <is>
          <t>→  Auto-calculated formulas. Do not edit.</t>
        </is>
      </c>
    </row>
    <row r="20" ht="26" customHeight="1">
      <c r="A20" s="3" t="inlineStr">
        <is>
          <t>White cells</t>
        </is>
      </c>
      <c r="B20" s="4" t="inlineStr">
        <is>
          <t>→  Labels / structure. Do not edit.</t>
        </is>
      </c>
    </row>
  </sheetData>
  <mergeCells count="4">
    <mergeCell ref="A8:B8"/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40" customWidth="1" min="3" max="3"/>
  </cols>
  <sheetData>
    <row r="1" ht="36" customHeight="1">
      <c r="A1" s="1" t="inlineStr">
        <is>
          <t>config  |  High-level numbers that appear on slide 1 and throughout the deck.</t>
        </is>
      </c>
    </row>
    <row r="2">
      <c r="A2" s="5" t="inlineStr">
        <is>
          <t>Field</t>
        </is>
      </c>
      <c r="B2" s="6" t="inlineStr">
        <is>
          <t>Value (edit yellow)</t>
        </is>
      </c>
      <c r="C2" s="5" t="inlineStr">
        <is>
          <t>Where used in PowerPoint</t>
        </is>
      </c>
    </row>
    <row r="3" ht="24" customHeight="1">
      <c r="A3" s="7" t="inlineStr">
        <is>
          <t>academic_year</t>
        </is>
      </c>
      <c r="B3" s="8" t="inlineStr">
        <is>
          <t>2025–2026</t>
        </is>
      </c>
      <c r="C3" s="9" t="inlineStr">
        <is>
          <t>Slide 1 title, slide 2/3 headers, footnotes</t>
        </is>
      </c>
    </row>
    <row r="4" ht="24" customHeight="1">
      <c r="A4" s="10" t="inlineStr">
        <is>
          <t>fall_label</t>
        </is>
      </c>
      <c r="B4" s="8" t="inlineStr">
        <is>
          <t>Fall 2025</t>
        </is>
      </c>
      <c r="C4" s="11" t="inlineStr">
        <is>
          <t>Bar chart legend, slide 1 stat box</t>
        </is>
      </c>
    </row>
    <row r="5" ht="24" customHeight="1">
      <c r="A5" s="7" t="inlineStr">
        <is>
          <t>spring_label</t>
        </is>
      </c>
      <c r="B5" s="8" t="inlineStr">
        <is>
          <t>Spring 2026</t>
        </is>
      </c>
      <c r="C5" s="9" t="inlineStr">
        <is>
          <t>Bar chart legend, slide 1 stat box</t>
        </is>
      </c>
    </row>
    <row r="6" ht="24" customHeight="1">
      <c r="A6" s="10" t="inlineStr">
        <is>
          <t>fall_students</t>
        </is>
      </c>
      <c r="B6" s="8" t="n">
        <v>249</v>
      </c>
      <c r="C6" s="11" t="inlineStr">
        <is>
          <t>Slide 1 stat box (auto if attendance sheet filled)</t>
        </is>
      </c>
    </row>
    <row r="7" ht="24" customHeight="1">
      <c r="A7" s="7" t="inlineStr">
        <is>
          <t>spring_students</t>
        </is>
      </c>
      <c r="B7" s="8" t="n">
        <v>389</v>
      </c>
      <c r="C7" s="9" t="inlineStr">
        <is>
          <t>Slide 1 stat box (auto if attendance sheet filled)</t>
        </is>
      </c>
    </row>
    <row r="8" ht="24" customHeight="1">
      <c r="A8" s="10" t="inlineStr">
        <is>
          <t>total_sessions</t>
        </is>
      </c>
      <c r="B8" s="8" t="n">
        <v>117</v>
      </c>
      <c r="C8" s="11" t="inlineStr">
        <is>
          <t>Slide 1 stat box</t>
        </is>
      </c>
    </row>
    <row r="9" ht="24" customHeight="1">
      <c r="A9" s="7" t="inlineStr">
        <is>
          <t>est_total_visitors</t>
        </is>
      </c>
      <c r="B9" s="8" t="inlineStr">
        <is>
          <t>~1,600</t>
        </is>
      </c>
      <c r="C9" s="9" t="inlineStr">
        <is>
          <t>Slide 1 stat box, family engagement bullet</t>
        </is>
      </c>
    </row>
    <row r="10" ht="24" customHeight="1">
      <c r="A10" s="10" t="inlineStr">
        <is>
          <t>states_represented</t>
        </is>
      </c>
      <c r="B10" s="8" t="n">
        <v>38</v>
      </c>
      <c r="C10" s="11" t="inlineStr">
        <is>
          <t>Slide 1 stat box, slide 3 header</t>
        </is>
      </c>
    </row>
    <row r="11" ht="24" customHeight="1">
      <c r="A11" s="7" t="inlineStr">
        <is>
          <t>top2_classes_pct</t>
        </is>
      </c>
      <c r="B11" s="8" t="inlineStr">
        <is>
          <t>92%</t>
        </is>
      </c>
      <c r="C11" s="9" t="inlineStr">
        <is>
          <t>Slide 2 callout box (Class of 2026 &amp; 2027 = X%)</t>
        </is>
      </c>
    </row>
    <row r="12" ht="24" customHeight="1">
      <c r="A12" s="10" t="inlineStr">
        <is>
          <t>top2_classes_label</t>
        </is>
      </c>
      <c r="B12" s="8" t="inlineStr">
        <is>
          <t>Class of 2026 &amp; 2027</t>
        </is>
      </c>
      <c r="C12" s="11" t="inlineStr">
        <is>
          <t>Slide 2 callout box label</t>
        </is>
      </c>
    </row>
    <row r="13" ht="24" customHeight="1">
      <c r="A13" s="7" t="inlineStr">
        <is>
          <t>visitor_multiplier</t>
        </is>
      </c>
      <c r="B13" s="8" t="inlineStr">
        <is>
          <t>2.5×</t>
        </is>
      </c>
      <c r="C13" s="9" t="inlineStr">
        <is>
          <t>Slide 4 family engagement bullet</t>
        </is>
      </c>
    </row>
    <row r="14" ht="24" customHeight="1">
      <c r="A14" s="10" t="inlineStr">
        <is>
          <t>footnote_slide4</t>
        </is>
      </c>
      <c r="B14" s="8" t="inlineStr">
        <is>
          <t>Visitor estimate based on ~2.5× the student headcount; companion data is self-reported at time of registration. Companion frequency reflects qualitative patterns, not exact counts.</t>
        </is>
      </c>
      <c r="C14" s="11" t="inlineStr">
        <is>
          <t>Slide 4 footnote</t>
        </is>
      </c>
    </row>
    <row r="15" ht="24" customHeight="1">
      <c r="A15" s="7" t="inlineStr">
        <is>
          <t>footer_text</t>
        </is>
      </c>
      <c r="B15" s="8" t="inlineStr">
        <is>
          <t>Hankamer School of Business  ·  Baylor University  ·  Information Session Registration Log, AY 2025–2026</t>
        </is>
      </c>
      <c r="C15" s="9" t="inlineStr">
        <is>
          <t>Slide 4 footer</t>
        </is>
      </c>
    </row>
    <row r="17" ht="32" customHeight="1">
      <c r="A17" s="12" t="inlineStr">
        <is>
          <t>⚠  fall_students and spring_students will be auto-calculated from the attendance sheet if you fill that in. Only override manually if attendance sheet is incomplete.</t>
        </is>
      </c>
    </row>
  </sheetData>
  <mergeCells count="2">
    <mergeCell ref="A1:C1"/>
    <mergeCell ref="A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30" customWidth="1" min="5" max="5"/>
  </cols>
  <sheetData>
    <row r="1" ht="36" customHeight="1">
      <c r="A1" s="1" t="inlineStr">
        <is>
          <t>attendance  |  Monthly student headcount. Leave cells blank (not 0) for months outside that semester.</t>
        </is>
      </c>
    </row>
    <row r="2">
      <c r="A2" s="6" t="inlineStr">
        <is>
          <t>Month</t>
        </is>
      </c>
      <c r="B2" s="6" t="inlineStr">
        <is>
          <t>Fall count</t>
        </is>
      </c>
      <c r="C2" s="6" t="inlineStr">
        <is>
          <t>Spring count</t>
        </is>
      </c>
      <c r="D2" s="6" t="inlineStr">
        <is>
          <t>Row total</t>
        </is>
      </c>
      <c r="E2" s="5" t="inlineStr">
        <is>
          <t>Notes</t>
        </is>
      </c>
    </row>
    <row r="3" ht="22" customHeight="1">
      <c r="A3" s="8" t="inlineStr">
        <is>
          <t>Aug '</t>
        </is>
      </c>
      <c r="B3" s="8" t="n">
        <v>26</v>
      </c>
      <c r="C3" s="13" t="n"/>
      <c r="D3" s="14">
        <f>IF(B3&lt;&gt;"",B3,IF(C3&lt;&gt;"",C3,""))</f>
        <v/>
      </c>
      <c r="E3" s="9" t="inlineStr"/>
    </row>
    <row r="4" ht="22" customHeight="1">
      <c r="A4" s="8" t="inlineStr">
        <is>
          <t>Sep '</t>
        </is>
      </c>
      <c r="B4" s="8" t="n">
        <v>53</v>
      </c>
      <c r="C4" s="13" t="n"/>
      <c r="D4" s="14">
        <f>IF(B4&lt;&gt;"",B4,IF(C4&lt;&gt;"",C4,""))</f>
        <v/>
      </c>
      <c r="E4" s="9" t="inlineStr"/>
    </row>
    <row r="5" ht="22" customHeight="1">
      <c r="A5" s="8" t="inlineStr">
        <is>
          <t>Oct '</t>
        </is>
      </c>
      <c r="B5" s="8" t="n">
        <v>73</v>
      </c>
      <c r="C5" s="13" t="n"/>
      <c r="D5" s="14">
        <f>IF(B5&lt;&gt;"",B5,IF(C5&lt;&gt;"",C5,""))</f>
        <v/>
      </c>
      <c r="E5" s="9" t="inlineStr"/>
    </row>
    <row r="6" ht="22" customHeight="1">
      <c r="A6" s="8" t="inlineStr">
        <is>
          <t>Nov '</t>
        </is>
      </c>
      <c r="B6" s="8" t="n">
        <v>62</v>
      </c>
      <c r="C6" s="13" t="n"/>
      <c r="D6" s="14">
        <f>IF(B6&lt;&gt;"",B6,IF(C6&lt;&gt;"",C6,""))</f>
        <v/>
      </c>
      <c r="E6" s="9" t="inlineStr"/>
    </row>
    <row r="7" ht="22" customHeight="1">
      <c r="A7" s="8" t="inlineStr">
        <is>
          <t>Dec '</t>
        </is>
      </c>
      <c r="B7" s="8" t="n">
        <v>35</v>
      </c>
      <c r="C7" s="13" t="n"/>
      <c r="D7" s="14">
        <f>IF(B7&lt;&gt;"",B7,IF(C7&lt;&gt;"",C7,""))</f>
        <v/>
      </c>
      <c r="E7" s="9" t="inlineStr">
        <is>
          <t>Fall ends</t>
        </is>
      </c>
    </row>
    <row r="8" ht="22" customHeight="1">
      <c r="A8" s="8" t="inlineStr">
        <is>
          <t>Jan '</t>
        </is>
      </c>
      <c r="B8" s="13" t="n"/>
      <c r="C8" s="8" t="n">
        <v>19</v>
      </c>
      <c r="D8" s="14">
        <f>IF(B8&lt;&gt;"",B8,IF(C8&lt;&gt;"",C8,""))</f>
        <v/>
      </c>
      <c r="E8" s="9" t="inlineStr">
        <is>
          <t>Spring begins</t>
        </is>
      </c>
    </row>
    <row r="9" ht="22" customHeight="1">
      <c r="A9" s="8" t="inlineStr">
        <is>
          <t>Feb '</t>
        </is>
      </c>
      <c r="B9" s="13" t="n"/>
      <c r="C9" s="8" t="n">
        <v>89</v>
      </c>
      <c r="D9" s="14">
        <f>IF(B9&lt;&gt;"",B9,IF(C9&lt;&gt;"",C9,""))</f>
        <v/>
      </c>
      <c r="E9" s="9" t="inlineStr"/>
    </row>
    <row r="10" ht="22" customHeight="1">
      <c r="A10" s="8" t="inlineStr">
        <is>
          <t>Mar '</t>
        </is>
      </c>
      <c r="B10" s="13" t="n"/>
      <c r="C10" s="8" t="n">
        <v>154</v>
      </c>
      <c r="D10" s="14">
        <f>IF(B10&lt;&gt;"",B10,IF(C10&lt;&gt;"",C10,""))</f>
        <v/>
      </c>
      <c r="E10" s="9" t="inlineStr">
        <is>
          <t>Peak month</t>
        </is>
      </c>
    </row>
    <row r="11" ht="22" customHeight="1">
      <c r="A11" s="8" t="inlineStr">
        <is>
          <t>Apr '</t>
        </is>
      </c>
      <c r="B11" s="13" t="n"/>
      <c r="C11" s="8" t="n">
        <v>127</v>
      </c>
      <c r="D11" s="14">
        <f>IF(B11&lt;&gt;"",B11,IF(C11&lt;&gt;"",C11,""))</f>
        <v/>
      </c>
      <c r="E11" s="9" t="inlineStr"/>
    </row>
    <row r="12" ht="26" customHeight="1">
      <c r="A12" s="6" t="inlineStr">
        <is>
          <t>Semester total</t>
        </is>
      </c>
      <c r="B12" s="14">
        <f>SUM(B3:B11)</f>
        <v/>
      </c>
      <c r="C12" s="14">
        <f>SUM(C3:C11)</f>
        <v/>
      </c>
      <c r="D12" s="14">
        <f>B12+C12</f>
        <v/>
      </c>
      <c r="E12" s="15" t="inlineStr">
        <is>
          <t>← must equal grad_year total</t>
        </is>
      </c>
    </row>
    <row r="13" ht="26" customHeight="1">
      <c r="A13" s="6" t="inlineStr">
        <is>
          <t>Grand total (AY)</t>
        </is>
      </c>
      <c r="B13" s="14">
        <f>B12+C12</f>
        <v/>
      </c>
      <c r="C13" s="16" t="n"/>
      <c r="D13" s="17" t="n"/>
    </row>
    <row r="15" ht="22" customHeight="1">
      <c r="A15" s="3" t="inlineStr">
        <is>
          <t>Cross-check vs grad_year:</t>
        </is>
      </c>
      <c r="C15" s="18">
        <f>IF(B13=grad_year!B11,"✔ MATCH","✗ MISMATCH — check totals")</f>
        <v/>
      </c>
      <c r="D15" s="16" t="n"/>
      <c r="E15" s="17" t="n"/>
    </row>
  </sheetData>
  <mergeCells count="4">
    <mergeCell ref="C15:E15"/>
    <mergeCell ref="B13:D13"/>
    <mergeCell ref="A1:E1"/>
    <mergeCell ref="A15:B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0" customWidth="1" min="4" max="4"/>
  </cols>
  <sheetData>
    <row r="1" ht="36" customHeight="1">
      <c r="A1" s="1" t="inlineStr">
        <is>
          <t>grad_year  |  Student count by graduation class (combined AY). Drives the pie chart on slide 2.</t>
        </is>
      </c>
    </row>
    <row r="2">
      <c r="A2" s="5" t="inlineStr">
        <is>
          <t>Graduation class</t>
        </is>
      </c>
      <c r="B2" s="6" t="inlineStr">
        <is>
          <t>Student count</t>
        </is>
      </c>
      <c r="C2" s="6" t="inlineStr">
        <is>
          <t>% of total</t>
        </is>
      </c>
      <c r="D2" s="5" t="inlineStr">
        <is>
          <t>Notes</t>
        </is>
      </c>
    </row>
    <row r="3" ht="22" customHeight="1">
      <c r="A3" s="7" t="inlineStr">
        <is>
          <t>Class of 2026</t>
        </is>
      </c>
      <c r="B3" s="8" t="n">
        <v>360</v>
      </c>
      <c r="C3" s="19">
        <f>IF(B11&gt;0,B3/B11,"")</f>
        <v/>
      </c>
      <c r="D3" s="9" t="inlineStr">
        <is>
          <t>Seniors</t>
        </is>
      </c>
    </row>
    <row r="4" ht="22" customHeight="1">
      <c r="A4" s="7" t="inlineStr">
        <is>
          <t>Class of 2027</t>
        </is>
      </c>
      <c r="B4" s="8" t="n">
        <v>228</v>
      </c>
      <c r="C4" s="19">
        <f>IF(B11&gt;0,B4/B11,"")</f>
        <v/>
      </c>
      <c r="D4" s="9" t="inlineStr">
        <is>
          <t>Juniors</t>
        </is>
      </c>
    </row>
    <row r="5" ht="22" customHeight="1">
      <c r="A5" s="7" t="inlineStr">
        <is>
          <t>Class of 2028</t>
        </is>
      </c>
      <c r="B5" s="8" t="n">
        <v>26</v>
      </c>
      <c r="C5" s="19">
        <f>IF(B11&gt;0,B5/B11,"")</f>
        <v/>
      </c>
      <c r="D5" s="9" t="inlineStr">
        <is>
          <t>Sophomores</t>
        </is>
      </c>
    </row>
    <row r="6" ht="22" customHeight="1">
      <c r="A6" s="7" t="inlineStr">
        <is>
          <t>Transfer</t>
        </is>
      </c>
      <c r="B6" s="8" t="n">
        <v>15</v>
      </c>
      <c r="C6" s="19">
        <f>IF(B11&gt;0,B6/B11,"")</f>
        <v/>
      </c>
      <c r="D6" s="9" t="inlineStr">
        <is>
          <t>Any year</t>
        </is>
      </c>
    </row>
    <row r="7" ht="22" customHeight="1">
      <c r="A7" s="7" t="inlineStr">
        <is>
          <t>Class of 2029+</t>
        </is>
      </c>
      <c r="B7" s="8" t="n">
        <v>9</v>
      </c>
      <c r="C7" s="19">
        <f>IF(B11&gt;0,B7/B11,"")</f>
        <v/>
      </c>
      <c r="D7" s="9" t="inlineStr">
        <is>
          <t>Freshmen / future</t>
        </is>
      </c>
    </row>
    <row r="11" ht="26" customHeight="1">
      <c r="A11" s="5" t="inlineStr">
        <is>
          <t>Total</t>
        </is>
      </c>
      <c r="B11" s="14">
        <f>SUM(B3:B7)</f>
        <v/>
      </c>
      <c r="C11" s="19">
        <f>SUM(C3:C7)</f>
        <v/>
      </c>
    </row>
    <row r="13" ht="22" customHeight="1">
      <c r="A13" s="3" t="inlineStr">
        <is>
          <t>Cross-check vs attendance:</t>
        </is>
      </c>
      <c r="C13" s="18">
        <f>IF(B11=attendance!B13,"✔ MATCH","✗ MISMATCH")</f>
        <v/>
      </c>
      <c r="D13" s="17" t="n"/>
    </row>
  </sheetData>
  <mergeCells count="3">
    <mergeCell ref="A1:D1"/>
    <mergeCell ref="A13:B13"/>
    <mergeCell ref="C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8" customWidth="1" min="4" max="4"/>
  </cols>
  <sheetData>
    <row r="1" ht="36" customHeight="1">
      <c r="A1" s="1" t="inlineStr">
        <is>
          <t>top10_states  |  Enter states LARGEST first (TX at top). Script sorts ascending for the chart automatically.</t>
        </is>
      </c>
    </row>
    <row r="2">
      <c r="A2" s="6" t="inlineStr">
        <is>
          <t>State abbr.</t>
        </is>
      </c>
      <c r="B2" s="6" t="inlineStr">
        <is>
          <t>Student count</t>
        </is>
      </c>
      <c r="C2" s="5" t="inlineStr">
        <is>
          <t>Full state name</t>
        </is>
      </c>
      <c r="D2" s="5" t="inlineStr">
        <is>
          <t>Notes</t>
        </is>
      </c>
    </row>
    <row r="3" ht="22" customHeight="1">
      <c r="A3" s="8" t="inlineStr">
        <is>
          <t>TX</t>
        </is>
      </c>
      <c r="B3" s="8" t="n">
        <v>414</v>
      </c>
      <c r="C3" s="8" t="inlineStr">
        <is>
          <t>Texas</t>
        </is>
      </c>
      <c r="D3" s="9" t="inlineStr">
        <is>
          <t>Home state</t>
        </is>
      </c>
    </row>
    <row r="4" ht="22" customHeight="1">
      <c r="A4" s="8" t="inlineStr">
        <is>
          <t>CA</t>
        </is>
      </c>
      <c r="B4" s="8" t="n">
        <v>48</v>
      </c>
      <c r="C4" s="8" t="inlineStr">
        <is>
          <t>California</t>
        </is>
      </c>
      <c r="D4" s="9" t="inlineStr">
        <is>
          <t>#2 non-TX</t>
        </is>
      </c>
    </row>
    <row r="5" ht="22" customHeight="1">
      <c r="A5" s="8" t="inlineStr">
        <is>
          <t>CO</t>
        </is>
      </c>
      <c r="B5" s="8" t="n">
        <v>19</v>
      </c>
      <c r="C5" s="8" t="inlineStr">
        <is>
          <t>Colorado</t>
        </is>
      </c>
      <c r="D5" s="9" t="inlineStr"/>
    </row>
    <row r="6" ht="22" customHeight="1">
      <c r="A6" s="8" t="inlineStr">
        <is>
          <t>IL</t>
        </is>
      </c>
      <c r="B6" s="8" t="n">
        <v>15</v>
      </c>
      <c r="C6" s="8" t="inlineStr">
        <is>
          <t>Illinois</t>
        </is>
      </c>
      <c r="D6" s="9" t="inlineStr"/>
    </row>
    <row r="7" ht="22" customHeight="1">
      <c r="A7" s="8" t="inlineStr">
        <is>
          <t>AZ</t>
        </is>
      </c>
      <c r="B7" s="8" t="n">
        <v>14</v>
      </c>
      <c r="C7" s="8" t="inlineStr">
        <is>
          <t>Arizona</t>
        </is>
      </c>
      <c r="D7" s="9" t="inlineStr"/>
    </row>
    <row r="8" ht="22" customHeight="1">
      <c r="A8" s="8" t="inlineStr">
        <is>
          <t>WA</t>
        </is>
      </c>
      <c r="B8" s="8" t="n">
        <v>10</v>
      </c>
      <c r="C8" s="8" t="inlineStr">
        <is>
          <t>Washington</t>
        </is>
      </c>
      <c r="D8" s="9" t="inlineStr"/>
    </row>
    <row r="9" ht="22" customHeight="1">
      <c r="A9" s="8" t="inlineStr">
        <is>
          <t>KS</t>
        </is>
      </c>
      <c r="B9" s="8" t="n">
        <v>9</v>
      </c>
      <c r="C9" s="8" t="inlineStr">
        <is>
          <t>Kansas</t>
        </is>
      </c>
      <c r="D9" s="9" t="inlineStr"/>
    </row>
    <row r="10" ht="22" customHeight="1">
      <c r="A10" s="8" t="inlineStr">
        <is>
          <t>MN</t>
        </is>
      </c>
      <c r="B10" s="8" t="n">
        <v>8</v>
      </c>
      <c r="C10" s="8" t="inlineStr">
        <is>
          <t>Minnesota</t>
        </is>
      </c>
      <c r="D10" s="9" t="inlineStr"/>
    </row>
    <row r="11" ht="22" customHeight="1">
      <c r="A11" s="8" t="inlineStr">
        <is>
          <t>NY</t>
        </is>
      </c>
      <c r="B11" s="8" t="n">
        <v>8</v>
      </c>
      <c r="C11" s="8" t="inlineStr">
        <is>
          <t>New York</t>
        </is>
      </c>
      <c r="D11" s="9" t="inlineStr"/>
    </row>
    <row r="12" ht="22" customHeight="1">
      <c r="A12" s="8" t="inlineStr">
        <is>
          <t>MO</t>
        </is>
      </c>
      <c r="B12" s="8" t="n">
        <v>7</v>
      </c>
      <c r="C12" s="8" t="inlineStr">
        <is>
          <t>Missouri</t>
        </is>
      </c>
      <c r="D12" s="9" t="inlineStr"/>
    </row>
    <row r="14" ht="32" customHeight="1">
      <c r="A14" s="12" t="inlineStr">
        <is>
          <t>Enter states in LARGEST→SMALLEST order (TX first). The script will reverse them for the chart (which reads bottom→top).</t>
        </is>
      </c>
    </row>
  </sheetData>
  <mergeCells count="2">
    <mergeCell ref="A1:D1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0" customWidth="1" min="4" max="4"/>
  </cols>
  <sheetData>
    <row r="1" ht="36" customHeight="1">
      <c r="A1" s="1" t="inlineStr">
        <is>
          <t>regional  |  Student counts by region. Drives the table and callout boxes on slide 3.</t>
        </is>
      </c>
    </row>
    <row r="2">
      <c r="A2" s="5" t="inlineStr">
        <is>
          <t>Region</t>
        </is>
      </c>
      <c r="B2" s="6" t="inlineStr">
        <is>
          <t>Students</t>
        </is>
      </c>
      <c r="C2" s="6" t="inlineStr">
        <is>
          <t>Share %</t>
        </is>
      </c>
      <c r="D2" s="5" t="inlineStr">
        <is>
          <t>States included</t>
        </is>
      </c>
    </row>
    <row r="3" ht="22" customHeight="1">
      <c r="A3" s="7" t="inlineStr">
        <is>
          <t>Texas</t>
        </is>
      </c>
      <c r="B3" s="8" t="n">
        <v>414</v>
      </c>
      <c r="C3" s="19">
        <f>IF(B10&gt;0,B3/B10,"")</f>
        <v/>
      </c>
      <c r="D3" s="9" t="inlineStr">
        <is>
          <t>TX</t>
        </is>
      </c>
    </row>
    <row r="4" ht="22" customHeight="1">
      <c r="A4" s="7" t="inlineStr">
        <is>
          <t>West / SW</t>
        </is>
      </c>
      <c r="B4" s="8" t="n">
        <v>103</v>
      </c>
      <c r="C4" s="19">
        <f>IF(B10&gt;0,B4/B10,"")</f>
        <v/>
      </c>
      <c r="D4" s="9" t="inlineStr">
        <is>
          <t>CA, CO, AZ, WA, NM, NV, UT, OR, ID, WY, MT, HI, AK</t>
        </is>
      </c>
    </row>
    <row r="5" ht="22" customHeight="1">
      <c r="A5" s="7" t="inlineStr">
        <is>
          <t>Midwest</t>
        </is>
      </c>
      <c r="B5" s="8" t="n">
        <v>57</v>
      </c>
      <c r="C5" s="19">
        <f>IF(B10&gt;0,B5/B10,"")</f>
        <v/>
      </c>
      <c r="D5" s="9" t="inlineStr">
        <is>
          <t>IL, MN, MO, KS, IN, OH, MI, WI, IA, SD, ND, NE</t>
        </is>
      </c>
    </row>
    <row r="6" ht="22" customHeight="1">
      <c r="A6" s="7" t="inlineStr">
        <is>
          <t>South / Southeast</t>
        </is>
      </c>
      <c r="B6" s="8" t="n">
        <v>41</v>
      </c>
      <c r="C6" s="19">
        <f>IF(B10&gt;0,B6/B10,"")</f>
        <v/>
      </c>
      <c r="D6" s="9" t="inlineStr">
        <is>
          <t>TN, NC, GA, FL, AL, AR, LA, SC, VA, MD, DE, OK</t>
        </is>
      </c>
    </row>
    <row r="7" ht="22" customHeight="1">
      <c r="A7" s="7" t="inlineStr">
        <is>
          <t>Northeast</t>
        </is>
      </c>
      <c r="B7" s="8" t="n">
        <v>21</v>
      </c>
      <c r="C7" s="19">
        <f>IF(B10&gt;0,B7/B10,"")</f>
        <v/>
      </c>
      <c r="D7" s="9" t="inlineStr">
        <is>
          <t>NY, MA, CT, NJ, PA, NH, VT, ME, RI</t>
        </is>
      </c>
    </row>
    <row r="8" ht="22" customHeight="1">
      <c r="A8" s="7" t="inlineStr">
        <is>
          <t>International</t>
        </is>
      </c>
      <c r="B8" s="8" t="n">
        <v>1</v>
      </c>
      <c r="C8" s="19">
        <f>IF(B10&gt;0,B8/B10,"")</f>
        <v/>
      </c>
      <c r="D8" s="9" t="inlineStr">
        <is>
          <t>Torreón, Mexico</t>
        </is>
      </c>
    </row>
    <row r="10" ht="26" customHeight="1">
      <c r="A10" s="5" t="inlineStr">
        <is>
          <t>Resolved total</t>
        </is>
      </c>
      <c r="B10" s="14">
        <f>SUM(B3:B8)</f>
        <v/>
      </c>
      <c r="C10" s="19">
        <f>SUM(C3:C8)</f>
        <v/>
      </c>
    </row>
    <row r="12" ht="28" customHeight="1">
      <c r="A12" s="20" t="inlineStr">
        <is>
          <t>Callout values (auto)</t>
        </is>
      </c>
      <c r="B12" s="16" t="n"/>
      <c r="C12" s="16" t="n"/>
      <c r="D12" s="17" t="n"/>
    </row>
    <row r="13">
      <c r="A13" s="5" t="inlineStr">
        <is>
          <t>Callout</t>
        </is>
      </c>
      <c r="B13" s="6" t="inlineStr">
        <is>
          <t>Value</t>
        </is>
      </c>
      <c r="C13" s="6" t="inlineStr">
        <is>
          <t>Display text</t>
        </is>
      </c>
      <c r="D13" s="5" t="inlineStr">
        <is>
          <t>Used in PowerPoint</t>
        </is>
      </c>
    </row>
    <row r="14" ht="22" customHeight="1">
      <c r="A14" s="7" t="inlineStr">
        <is>
          <t>Texas %</t>
        </is>
      </c>
      <c r="B14" s="19">
        <f>ROUND(B3/B10,2)</f>
        <v/>
      </c>
      <c r="C14" s="18">
        <f>TEXT(B14,"0%")&amp;" from Texas"</f>
        <v/>
      </c>
      <c r="D14" s="9" t="inlineStr">
        <is>
          <t>Slide 3 left callout box</t>
        </is>
      </c>
    </row>
    <row r="15" ht="22" customHeight="1">
      <c r="A15" s="7" t="inlineStr">
        <is>
          <t>Out-of-state %</t>
        </is>
      </c>
      <c r="B15" s="19">
        <f>ROUND((B10-B3-B8)/B10,2)</f>
        <v/>
      </c>
      <c r="C15" s="18">
        <f>TEXT(B15,"0%")&amp;" out-of-state"</f>
        <v/>
      </c>
      <c r="D15" s="9" t="inlineStr">
        <is>
          <t>Slide 3 centre callout box</t>
        </is>
      </c>
    </row>
    <row r="16" ht="22" customHeight="1">
      <c r="A16" s="7" t="inlineStr">
        <is>
          <t>International</t>
        </is>
      </c>
      <c r="B16" s="19">
        <f>B8</f>
        <v/>
      </c>
      <c r="C16" s="18">
        <f>B16&amp;" international"</f>
        <v/>
      </c>
      <c r="D16" s="9" t="inlineStr">
        <is>
          <t>Slide 3 right callout box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</cols>
  <sheetData>
    <row r="1" ht="36" customHeight="1">
      <c r="A1" s="1" t="inlineStr">
        <is>
          <t>companion  |  Who joins students? Drives the qualitative frequency table on slide 4.</t>
        </is>
      </c>
    </row>
    <row r="2">
      <c r="A2" s="5" t="inlineStr">
        <is>
          <t>Companion type</t>
        </is>
      </c>
      <c r="B2" s="6" t="inlineStr">
        <is>
          <t>Frequency label</t>
        </is>
      </c>
      <c r="C2" s="5" t="inlineStr">
        <is>
          <t>Allowed values</t>
        </is>
      </c>
    </row>
    <row r="3" ht="22" customHeight="1">
      <c r="A3" s="7" t="inlineStr">
        <is>
          <t>Mother (solo)</t>
        </is>
      </c>
      <c r="B3" s="8" t="inlineStr">
        <is>
          <t>Very common</t>
        </is>
      </c>
      <c r="C3" s="9" t="inlineStr">
        <is>
          <t>Very common / Common / Occasional / Rare / Uncommon</t>
        </is>
      </c>
    </row>
    <row r="4" ht="22" customHeight="1">
      <c r="A4" s="7" t="inlineStr">
        <is>
          <t>Father (solo)</t>
        </is>
      </c>
      <c r="B4" s="8" t="inlineStr">
        <is>
          <t>Common</t>
        </is>
      </c>
      <c r="C4" s="9" t="inlineStr"/>
    </row>
    <row r="5" ht="22" customHeight="1">
      <c r="A5" s="7" t="inlineStr">
        <is>
          <t>Both parents</t>
        </is>
      </c>
      <c r="B5" s="8" t="inlineStr">
        <is>
          <t>Very common</t>
        </is>
      </c>
      <c r="C5" s="9" t="inlineStr"/>
    </row>
    <row r="6" ht="22" customHeight="1">
      <c r="A6" s="7" t="inlineStr">
        <is>
          <t>Sibling(s)</t>
        </is>
      </c>
      <c r="B6" s="8" t="inlineStr">
        <is>
          <t>Occasional</t>
        </is>
      </c>
      <c r="C6" s="9" t="inlineStr"/>
    </row>
    <row r="7" ht="22" customHeight="1">
      <c r="A7" s="7" t="inlineStr">
        <is>
          <t>Extended family</t>
        </is>
      </c>
      <c r="B7" s="8" t="inlineStr">
        <is>
          <t>Rare</t>
        </is>
      </c>
      <c r="C7" s="9" t="inlineStr"/>
    </row>
    <row r="8" ht="22" customHeight="1">
      <c r="A8" s="7" t="inlineStr">
        <is>
          <t>Friends / classmates</t>
        </is>
      </c>
      <c r="B8" s="8" t="inlineStr">
        <is>
          <t>Rare</t>
        </is>
      </c>
      <c r="C8" s="9" t="inlineStr"/>
    </row>
    <row r="9" ht="22" customHeight="1">
      <c r="A9" s="7" t="inlineStr">
        <is>
          <t>Student alone</t>
        </is>
      </c>
      <c r="B9" s="8" t="inlineStr">
        <is>
          <t>Uncommon</t>
        </is>
      </c>
      <c r="C9" s="9" t="inlineStr"/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4" customWidth="1" min="2" max="2"/>
  </cols>
  <sheetData>
    <row r="1" ht="36" customHeight="1">
      <c r="A1" s="1" t="inlineStr">
        <is>
          <t>bullets  |  All editable text blocks. Each cell is one bullet or sentence in the PowerPoint.</t>
        </is>
      </c>
    </row>
    <row r="2" ht="28" customHeight="1">
      <c r="A2" s="2" t="inlineStr">
        <is>
          <t>SLIDE 1 — OVERVIEW (6 sentences)</t>
        </is>
      </c>
    </row>
    <row r="3" ht="38" customHeight="1">
      <c r="A3" s="21" t="inlineStr">
        <is>
          <t>overview_1</t>
        </is>
      </c>
      <c r="B3" s="22" t="inlineStr">
        <is>
          <t>638 students attended Hankamer info sessions across AY 2025–2026 — 249 in fall, 389 in spring.</t>
        </is>
      </c>
    </row>
    <row r="4" ht="38" customHeight="1">
      <c r="A4" s="21" t="inlineStr">
        <is>
          <t>overview_2</t>
        </is>
      </c>
      <c r="B4" s="22" t="inlineStr">
        <is>
          <t>117 sessions hosted across the year averaged just ~5 students each — a high-touch, personalized experience rarely found at scale.</t>
        </is>
      </c>
    </row>
    <row r="5" ht="38" customHeight="1">
      <c r="A5" s="21" t="inlineStr">
        <is>
          <t>overview_3</t>
        </is>
      </c>
      <c r="B5" s="22" t="inlineStr">
        <is>
          <t>Spring 2026 outpaced Fall 2025 by 56%, driven by senior application timelines and growing program interest.</t>
        </is>
      </c>
    </row>
    <row r="6" ht="38" customHeight="1">
      <c r="A6" s="21" t="inlineStr">
        <is>
          <t>overview_4</t>
        </is>
      </c>
      <c r="B6" s="22" t="inlineStr">
        <is>
          <t>Most students brought 1–2 family members, generating an estimated ~1,600 total campus visitors across the year.</t>
        </is>
      </c>
    </row>
    <row r="7" ht="38" customHeight="1">
      <c r="A7" s="21" t="inlineStr">
        <is>
          <t>overview_5</t>
        </is>
      </c>
      <c r="B7" s="22" t="inlineStr">
        <is>
          <t>38 states represented across both semesters — visitors came from coast to coast, including VT, OR, NY, and NH.</t>
        </is>
      </c>
    </row>
    <row r="8" ht="38" customHeight="1">
      <c r="A8" s="21" t="inlineStr">
        <is>
          <t>overview_6</t>
        </is>
      </c>
      <c r="B8" s="22" t="inlineStr">
        <is>
          <t>Class of 2026 and 2027 together made up 92% of all visitors, with a healthy mix of near-term and imminent prospects.</t>
        </is>
      </c>
    </row>
    <row r="9" ht="28" customHeight="1">
      <c r="A9" s="2" t="inlineStr">
        <is>
          <t>SLIDE 1 — RECOMMENDATIONS (3 bullets)</t>
        </is>
      </c>
    </row>
    <row r="10" ht="38" customHeight="1">
      <c r="A10" s="21" t="inlineStr">
        <is>
          <t>rec_1</t>
        </is>
      </c>
      <c r="B10" s="22" t="inlineStr">
        <is>
          <t>Scale spring capacity — March and April are peak months; additional session dates or a larger venue may be needed.</t>
        </is>
      </c>
    </row>
    <row r="11" ht="38" customHeight="1">
      <c r="A11" s="21" t="inlineStr">
        <is>
          <t>rec_2</t>
        </is>
      </c>
      <c r="B11" s="22" t="inlineStr">
        <is>
          <t>Target high-potential out-of-state clusters: Kansas, Colorado, Illinois, Arkansas, and Oklahoma show strong interest.</t>
        </is>
      </c>
    </row>
    <row r="12" ht="38" customHeight="1">
      <c r="A12" s="21" t="inlineStr">
        <is>
          <t>rec_3</t>
        </is>
      </c>
      <c r="B12" s="22" t="inlineStr">
        <is>
          <t>Design for the family — ~40% of visits included both parents; messaging should address ROI, outcomes, and campus culture.</t>
        </is>
      </c>
    </row>
    <row r="13" ht="28" customHeight="1">
      <c r="A13" s="2" t="inlineStr">
        <is>
          <t>SLIDE 2 — BAR CHART FOOTNOTE</t>
        </is>
      </c>
    </row>
    <row r="14" ht="38" customHeight="1">
      <c r="A14" s="21" t="inlineStr">
        <is>
          <t>slide2_footnote</t>
        </is>
      </c>
      <c r="B14" s="22" t="inlineStr">
        <is>
          <t>Both semesters shown. Fall 2025: 249 students (Aug–Dec). Spring 2026: 389 students (Jan–Apr). Total: 638.</t>
        </is>
      </c>
    </row>
    <row r="15" ht="28" customHeight="1">
      <c r="A15" s="2" t="inlineStr">
        <is>
          <t>SLIDE 3 — GEOGRAPHIC BULLETS (2 bullets)</t>
        </is>
      </c>
    </row>
    <row r="16" ht="38" customHeight="1">
      <c r="A16" s="21" t="inlineStr">
        <is>
          <t>geo_bullet_1</t>
        </is>
      </c>
      <c r="B16" s="22" t="inlineStr">
        <is>
          <t>CA (#2, 48), CO (19), IL (15), AZ (14), WA (10), KS (9) are top non-TX states.</t>
        </is>
      </c>
    </row>
    <row r="17" ht="38" customHeight="1">
      <c r="A17" s="21" t="inlineStr">
        <is>
          <t>geo_bullet_2</t>
        </is>
      </c>
      <c r="B17" s="22" t="inlineStr">
        <is>
          <t>One student listed Torreón, Mexico — nascent international reach.</t>
        </is>
      </c>
    </row>
    <row r="18" ht="28" customHeight="1">
      <c r="A18" s="2" t="inlineStr">
        <is>
          <t>SLIDE 3 — GEO FOOTNOTE</t>
        </is>
      </c>
    </row>
    <row r="19" ht="38" customHeight="1">
      <c r="A19" s="21" t="inlineStr">
        <is>
          <t>slide3_footnote</t>
        </is>
      </c>
      <c r="B19" s="22" t="inlineStr">
        <is>
          <t>AY 2025–2026 combined. Some records had missing/ambiguous state data. Regional counts sum to 637 of 638 total students; 1 student had an unresolvable state entry.</t>
        </is>
      </c>
    </row>
    <row r="20" ht="28" customHeight="1">
      <c r="A20" s="2" t="inlineStr">
        <is>
          <t>SLIDE 4 — FAMILY ENGAGEMENT BULLETS (3 bullets)</t>
        </is>
      </c>
    </row>
    <row r="21" ht="38" customHeight="1">
      <c r="A21" s="21" t="inlineStr">
        <is>
          <t>engage_1</t>
        </is>
      </c>
      <c r="B21" s="22" t="inlineStr">
        <is>
          <t>~1,600 total campus visitors estimated across AY 2025–2026 — nearly 2.5× the student headcount.</t>
        </is>
      </c>
    </row>
    <row r="22" ht="38" customHeight="1">
      <c r="A22" s="21" t="inlineStr">
        <is>
          <t>engage_2</t>
        </is>
      </c>
      <c r="B22" s="22" t="inlineStr">
        <is>
          <t>~40% of visits included both parents, making this as much a family event as a student one.</t>
        </is>
      </c>
    </row>
    <row r="23" ht="38" customHeight="1">
      <c r="A23" s="21" t="inlineStr">
        <is>
          <t>engage_3</t>
        </is>
      </c>
      <c r="B23" s="22" t="inlineStr">
        <is>
          <t>Younger siblings (Class of 2028–2029+) are forming early impressions — a long-lead pipeline.</t>
        </is>
      </c>
    </row>
  </sheetData>
  <mergeCells count="7">
    <mergeCell ref="A20:B20"/>
    <mergeCell ref="A2:B2"/>
    <mergeCell ref="A15:B15"/>
    <mergeCell ref="A13:B13"/>
    <mergeCell ref="A1:B1"/>
    <mergeCell ref="A18:B18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2026-05-05T05:17:05Z</dcterms:created>
  <dcterms:modified xmlns:dcterms="http://purl.org/dc/terms/" xmlns:xsi="http://www.w3.org/2001/XMLSchema-instance" xsi:type="dcterms:W3CDTF">2026-05-05T05:17:06Z</dcterms:modified>
</cp:coreProperties>
</file>